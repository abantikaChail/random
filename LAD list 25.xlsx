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u508412\Downloads\"/>
    </mc:Choice>
  </mc:AlternateContent>
  <xr:revisionPtr revIDLastSave="0" documentId="13_ncr:1_{A7DE9564-B960-4067-9002-C800809C3931}" xr6:coauthVersionLast="47" xr6:coauthVersionMax="47" xr10:uidLastSave="{00000000-0000-0000-0000-000000000000}"/>
  <bookViews>
    <workbookView xWindow="-120" yWindow="-120" windowWidth="20730" windowHeight="11040" xr2:uid="{D853A0AB-23BD-4F2D-9AD5-CF575AA460B2}"/>
  </bookViews>
  <sheets>
    <sheet name="Table"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15" i="1"/>
  <c r="G16" i="1"/>
  <c r="G17" i="1"/>
  <c r="G18" i="1"/>
  <c r="G19" i="1"/>
  <c r="H16" i="1" a="1"/>
  <c r="H16" i="1" s="1"/>
  <c r="H17" i="1" a="1"/>
  <c r="H17" i="1"/>
  <c r="H18" i="1" a="1"/>
  <c r="H18" i="1"/>
  <c r="H19" i="1" a="1"/>
  <c r="H19" i="1"/>
  <c r="H20" i="1" a="1"/>
  <c r="H20" i="1" s="1"/>
  <c r="H21" i="1" a="1"/>
  <c r="H21" i="1"/>
  <c r="H22" i="1" a="1"/>
  <c r="H22" i="1"/>
  <c r="H23" i="1" a="1"/>
  <c r="H23" i="1"/>
  <c r="H24" i="1" a="1"/>
  <c r="H24" i="1" s="1"/>
  <c r="H25" i="1" a="1"/>
  <c r="H25" i="1"/>
  <c r="H26" i="1" a="1"/>
  <c r="H26" i="1"/>
  <c r="H27" i="1" a="1"/>
  <c r="H27" i="1"/>
  <c r="H28" i="1" a="1"/>
  <c r="H28" i="1" s="1"/>
  <c r="H29" i="1" a="1"/>
  <c r="H29" i="1"/>
  <c r="H30" i="1" a="1"/>
  <c r="H30" i="1"/>
  <c r="H31" i="1" a="1"/>
  <c r="H31" i="1"/>
  <c r="H32" i="1" a="1"/>
  <c r="H32" i="1" s="1"/>
  <c r="H33" i="1" a="1"/>
  <c r="H33" i="1"/>
  <c r="H34" i="1" a="1"/>
  <c r="H34" i="1"/>
  <c r="H35" i="1" a="1"/>
  <c r="H35" i="1"/>
  <c r="H36" i="1" a="1"/>
  <c r="H36" i="1" s="1"/>
  <c r="H37" i="1" a="1"/>
  <c r="H37" i="1"/>
  <c r="H38" i="1" a="1"/>
  <c r="H38" i="1"/>
  <c r="H39" i="1" a="1"/>
  <c r="H39" i="1"/>
  <c r="H40" i="1" a="1"/>
  <c r="H40" i="1" s="1"/>
  <c r="H41" i="1" a="1"/>
  <c r="H41" i="1"/>
  <c r="H42" i="1" a="1"/>
  <c r="H42" i="1"/>
  <c r="H43" i="1" a="1"/>
  <c r="H43" i="1"/>
  <c r="H44" i="1" a="1"/>
  <c r="H44" i="1" s="1"/>
  <c r="H45" i="1" a="1"/>
  <c r="H45" i="1"/>
  <c r="H46" i="1" a="1"/>
  <c r="H46" i="1" s="1"/>
  <c r="H47" i="1" a="1"/>
  <c r="H47" i="1"/>
  <c r="H48" i="1" a="1"/>
  <c r="H48" i="1" s="1"/>
  <c r="H49" i="1" a="1"/>
  <c r="H49" i="1"/>
  <c r="H50" i="1" a="1"/>
  <c r="H50" i="1"/>
  <c r="H51" i="1" a="1"/>
  <c r="H51" i="1"/>
  <c r="H52" i="1" a="1"/>
  <c r="H52" i="1" s="1"/>
  <c r="H53" i="1" a="1"/>
  <c r="H53" i="1"/>
  <c r="H54" i="1" a="1"/>
  <c r="H54" i="1"/>
  <c r="H55" i="1" a="1"/>
  <c r="H55" i="1"/>
  <c r="H15" i="1" a="1"/>
  <c r="H15" i="1" s="1"/>
  <c r="G14" i="1"/>
  <c r="G4" i="1"/>
  <c r="G5" i="1"/>
  <c r="G6" i="1"/>
  <c r="G7" i="1"/>
  <c r="G8" i="1"/>
  <c r="G9" i="1"/>
  <c r="G10" i="1"/>
  <c r="G11" i="1"/>
  <c r="G12" i="1"/>
  <c r="G13" i="1"/>
  <c r="G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<sst xmlns="http://schemas.openxmlformats.org/spreadsheetml/2006/main" count="302" uniqueCount="122">
  <si>
    <t>Task</t>
  </si>
  <si>
    <t>Assigned to</t>
  </si>
  <si>
    <t>Medium (Mail/To do list)</t>
  </si>
  <si>
    <t>Assigned date</t>
  </si>
  <si>
    <t xml:space="preserve">Days since task assignment </t>
  </si>
  <si>
    <t>S.No.</t>
  </si>
  <si>
    <t>Description, if any</t>
  </si>
  <si>
    <t>I have to make leader wise accountability dashboard. It will showcase the status of tasks assigned and completed by the leaders. It will be based on simple excel attached here. Think deeply and tell me what should be the reporting view of this excel information, which drives more completion and competition when published to the leaders. We can either create a power BI or polished and well designed HTML page with graphs, visuals and leader board.</t>
  </si>
  <si>
    <t>Push ops leaders for DC proximity projects; classify soft QNS vs NCP</t>
  </si>
  <si>
    <t>Complete VOC analysis; confirm meeting date with Karan</t>
  </si>
  <si>
    <t>Continue Navan handover; monitor ISO audit for Hickory</t>
  </si>
  <si>
    <t>Close NCS items and initiate roadshows</t>
  </si>
  <si>
    <t>Ensure HP account T&amp;Q engagement during OJT</t>
  </si>
  <si>
    <t>Finalize Guide AI IDs pricing with KC vendor and Parmeet</t>
  </si>
  <si>
    <t>Upload D-Site modules on WNS LMS; confirm costing &amp; licenses with Anthony</t>
  </si>
  <si>
    <t>Roll out Quality PKT across locations</t>
  </si>
  <si>
    <t>T+ walkthrough and calibration with Sunil, Ruth, Nandita, Sudeepta</t>
  </si>
  <si>
    <t>Conduct a TMC walkthrough for Quality Leaders</t>
  </si>
  <si>
    <t>Ruth Gay Calupig</t>
  </si>
  <si>
    <t>Rupam Bindra</t>
  </si>
  <si>
    <t>Rupam Bindra; Sudeepta Kumar</t>
  </si>
  <si>
    <t>Bimbo Gatchalian</t>
  </si>
  <si>
    <t>Ruth Gay Calupig; Rupam Bindra; Bo</t>
  </si>
  <si>
    <t>Digvijay Rathore</t>
  </si>
  <si>
    <t>Alan Dsilva</t>
  </si>
  <si>
    <t>To do</t>
  </si>
  <si>
    <t>A</t>
  </si>
  <si>
    <t>Meeting this week to decide soft QNS vs NCP</t>
  </si>
  <si>
    <t>Follow Vivek's template for VOC update</t>
  </si>
  <si>
    <t>Internal handover from Vivek; audit started with Sunit</t>
  </si>
  <si>
    <t>Roadshows to start this week</t>
  </si>
  <si>
    <t>Compare new vs current scripts; create complementary QA form</t>
  </si>
  <si>
    <t>Keep teams involved through initial stressful period; reward &amp; acknowledge</t>
  </si>
  <si>
    <t>Latest quote $88 from KC; align with Parmeet</t>
  </si>
  <si>
    <t>Start PKT sessions across sites</t>
  </si>
  <si>
    <t>Calibrate note before sending; align with Ashish's request</t>
  </si>
  <si>
    <t>Consider batch run or alternative approach for WS-wide usage</t>
  </si>
  <si>
    <t>KT</t>
  </si>
  <si>
    <t>G</t>
  </si>
  <si>
    <t>Release MoM of TQ update call(1st Dec) to Abhin via mail</t>
  </si>
  <si>
    <t>Completed</t>
  </si>
  <si>
    <t>AB testing of scripts; create QA form for hotel planner</t>
  </si>
  <si>
    <t>Filters for leader names</t>
  </si>
  <si>
    <t>RAG status not changing</t>
  </si>
  <si>
    <t>Planner</t>
  </si>
  <si>
    <t>Lead Projects submission on Brainwave</t>
  </si>
  <si>
    <t>Projects from SA</t>
  </si>
  <si>
    <t>Stevie award submission</t>
  </si>
  <si>
    <t xml:space="preserve">NCP update for CEO review </t>
  </si>
  <si>
    <t xml:space="preserve">Fraud risk control assessment </t>
  </si>
  <si>
    <t>DSiTE Demo for SA E&amp;U Team</t>
  </si>
  <si>
    <t>Share the SLA slides from Utilities review completed at Blackriver office</t>
  </si>
  <si>
    <t xml:space="preserve">Weekly update slide to include Training and Quality actions - Utilities </t>
  </si>
  <si>
    <t xml:space="preserve">Monthly reports </t>
  </si>
  <si>
    <t>Rupam / Abhin - 1x1</t>
  </si>
  <si>
    <t xml:space="preserve">Quality team task assessments </t>
  </si>
  <si>
    <t xml:space="preserve">Annual performance update with BPR team </t>
  </si>
  <si>
    <t>SLA report - weekly Andon chart</t>
  </si>
  <si>
    <t xml:space="preserve">KRA PBI report for NY span - Incl SA teams </t>
  </si>
  <si>
    <t xml:space="preserve">NCP process and how it should be managed </t>
  </si>
  <si>
    <t>Follow up actions from SA Team Meeting</t>
  </si>
  <si>
    <t xml:space="preserve">Weekly tasks </t>
  </si>
  <si>
    <t>TMC Academy launch</t>
  </si>
  <si>
    <t>Minutes of meeting - Fortnightly meet</t>
  </si>
  <si>
    <t xml:space="preserve">Accountability dashboard </t>
  </si>
  <si>
    <t>Daily call for Blockskye and Call for HP on Wednesday</t>
  </si>
  <si>
    <t>Alan / Abhin - 1x1</t>
  </si>
  <si>
    <t>Incorrect QA marking in Centrica - Mail from Gareth, Shona and Shikha</t>
  </si>
  <si>
    <t xml:space="preserve">Centrica guide ai and Dsite modules </t>
  </si>
  <si>
    <t>Excess / Deficit HC report</t>
  </si>
  <si>
    <t>Risk review for OC&amp;H - mail from Ashish Bhargava</t>
  </si>
  <si>
    <t xml:space="preserve">Navan handover </t>
  </si>
  <si>
    <t>Centrica regular QA report - ownership and date</t>
  </si>
  <si>
    <t xml:space="preserve">Replacement options for Zenarate </t>
  </si>
  <si>
    <t>Not started</t>
  </si>
  <si>
    <t>In progress</t>
  </si>
  <si>
    <t>Pradnya Chandgude;Anup Kumar Patel;Sheetal Kontham;Anish Bhardwaj</t>
  </si>
  <si>
    <t>Sunil Joshi;Sushil Ranade;Sugandha Leekha;Nandita Yadav</t>
  </si>
  <si>
    <t>Rupam Bindra;Vivek Srivastava</t>
  </si>
  <si>
    <t>Digvijay Rathore;Rupam Bindra;Vivek Srivastava</t>
  </si>
  <si>
    <t>Member;Digvijay Rathore</t>
  </si>
  <si>
    <t>Katja Alves;Nadiem Fredericks</t>
  </si>
  <si>
    <t>Katja Alves;Alan Dsilva;Nadiem Fredericks</t>
  </si>
  <si>
    <t>Katja Alves;Alan Dsilva;Digvijay Rathore;Nadiem Fredericks</t>
  </si>
  <si>
    <t>Sunil Joshi;Sugandha Leekha;Nandita Yadav</t>
  </si>
  <si>
    <t>Pradnya Chandgude;Pritesh Saikia;Anup Kumar Patel;Sheetal Kontham;Anish Bhardwaj</t>
  </si>
  <si>
    <t>Nandita Yadav</t>
  </si>
  <si>
    <t>Anup Kumar Patel;Katja Alves;Alan Dsilva;Ruth Gay Calupig;Nadiem Fredericks;Rupam Bindra;Nandita Yadav</t>
  </si>
  <si>
    <t>Ruth Gay Calupig;Nandita Yadav</t>
  </si>
  <si>
    <t>Ruth Gay Calupig;Rupam Bindra;Nandita Yadav</t>
  </si>
  <si>
    <t>Nadiem Fredericks</t>
  </si>
  <si>
    <t>Katja Alves;Alan Dsilva;Digvijay Rathore</t>
  </si>
  <si>
    <t>Vivek Srivastava</t>
  </si>
  <si>
    <t>Digvijay Rathore;Nadiem Fredericks</t>
  </si>
  <si>
    <t>Alan Dsilva;Digvijay Rathore</t>
  </si>
  <si>
    <t>Nadiem Fredericks, Alan Dsilva</t>
  </si>
  <si>
    <t>20/11/2025</t>
  </si>
  <si>
    <t>24/11/2025</t>
  </si>
  <si>
    <t>21/11/2025</t>
  </si>
  <si>
    <t>25/11/2025</t>
  </si>
  <si>
    <t>02/12/2025</t>
  </si>
  <si>
    <t>28/11/2025</t>
  </si>
  <si>
    <t>27/11/2025</t>
  </si>
  <si>
    <t>From Abhin:_x000D_
Identify all Fraud related risks across accounts. _x000D_
_x000D_
Check for client acceptance to these risks and where does the liability lie_x000D_
_x000D_
From Digvijay:_x000D_
OC&amp;H Fraud Risks: [https://app.powerbi.com/groups/me/reports/edca8a3c-beb1-4c21-9506-b70bb25f108e/ReportSectionb06a183992731327f25a?ctid=23f8ecfb-6a90-46c2-96ca-4a362721b82c&amp;experience=power-bi](https://app.powerbi.com/groups/me/reports/edca8a3c-beb1-4c21-9506-b70bb25f108e/ReportSectionb06a183992731327f25a?ctid=23f8ecfb-6a90-46c2-96ca-4a362721b82c&amp;amp;experience=power-bi)_x000D_
A&amp;A Fraud Risks: [https://app.powerbi.com/groups/me/reports/edca8a3c-beb1-4c21-9506-b70bb25f108e/ReportSectionb06a183992731327f25a?ctid=23f8ecfb-6a90-46c2-96ca-4a362721b82c&amp;experience=power-bi](https://app.powerbi.com/groups/me/reports/edca8a3c-beb1-4c21-9506-b70bb25f108e/ReportSectionb06a183992731327f25a?ctid=23f8ecfb-6a90-46c2-96ca-4a362721b82c&amp;amp;experience=power-bi)</t>
  </si>
  <si>
    <t>This is the weekly SLA update slide (Friday meeting) shared by Nadiem with me.</t>
  </si>
  <si>
    <t>- Agent Error report_x000D_
- Extra HC report_x000D_
- Speed to bilability_x000D_
- Updated Attrition file_x000D_
- VOC, Health Scorecard, SLA Dashboard_x000D_
-</t>
  </si>
  <si>
    <t>closed</t>
  </si>
  <si>
    <t>Points from call today.. 
Date: 30 Sept 2025 
QA Automation 
FMEA → Review for all accts 
Money In / Money Out 
Process Maps 
Reward &amp; Penalties → Threshold %age 
Fraud Risks → Contacts Urgently Audit 
QSD → Relevance, adequacy &amp; version control 
Business Insight → Bo &amp; Sushil → Rupam to inform me when she’s had that convo 
Account Health Scorecard 
Common Minimum Practices 
Feedback tone &amp; Consistency specificity → Sushil 
Resolution Rate → VS Client Escalation 
KRA for everyone → + Tracking</t>
  </si>
  <si>
    <t>Assess following:
Daily weekly monthly audit targets 
Accounts that use randomizer vs not.. how is the point related to cherry picking being validated 
Accounts where QA score is a SLA 
Check if QA score is part of QA or AM/DM/Manager incentives 
If ATA/CTC is done for each account.. who does it and what’s the variance 
If client calibrations are done regularly and what is the variance 
How to ensure that scores are not kept high or low artificially</t>
  </si>
  <si>
    <t>Mail sent with details.</t>
  </si>
  <si>
    <t>1 Dev has been discussed and agreed as date for rollout for NY span. _x000D_
WIP . We are migrating old files to the new automated sheet .</t>
  </si>
  <si>
    <t>All NCP must be logged into BPET portal and Wns should be identified. If Finance approves, then its NCP else its QNS.</t>
  </si>
  <si>
    <t>Follow up actions from the T&amp;Q meeting with SA Team_x000D_
._x000D_
**D Site Demo and Deployment Ideas: **Organize a D Site demo for all team members (including quality function), and collect at least two unique deployment ideas per person to be logged into Brainwave. (Katja)_x000D_
_x000D_
._x000D_
**D Site Deployment Tracking: **Track and publish a list of team members who have not submitted their D Site deployment ideas after the demo. (Katja)_x000D_
_x000D_
._x000D_
**D Site Deployment in South Africa: **Work with Digvijay to deploy the D Site dashboard for South Africa accounts starting next month, coordinating with Nadeem, Allen (utilities), and Ruth (travel). (Digvijay, Nadeem, Allen, Ruth)_x000D_
_x000D_
._x000D_
**Moment of Truth Project Teams: **Nominate 5 people for each of the identified projects (complaints, under compliance, collections, etc.), form groups of four for each, and ensure detailed process maps are created and logged as brainwaves within a week. (Nadeem, Aneesh)_x000D_
_x000D_
._x000D_
**Moment of Truth Project Mentoring: **Mentor the nominated teams in creating detailed process flow diagrams for the identified projects and ensure all are logged as brainwaves or BI before end of tomorrow with clear leaders and team members. (Anish)_x000D_
_x000D_
._x000D_
**Segmentation Analysis for Messaging Accounts: **Complete process flow diagrams (level 4) for all Centrica messaging LOBs in India where there are penalties, and report the number of brainwaves and LOBs by next week Friday. (Sandeep)</t>
  </si>
  <si>
    <t>Summary Snapshot of 
SLA Dashboard
Transitions Dashboard 
Client meeting tracker - send a snapshot update, including reminders for packs 
Projects dashboard, how many added/completed
 People Analytics snapshot
Escalation dashboard 
Weekly executive update from all items tracked</t>
  </si>
  <si>
    <t>- Summary Snapshot of_x000D_
_x000D_
1. SLA Dashboard_x000D_
2. Transitions Dashboard_x000D_
3. Client meeting tracker - send a snapshot update, including reminders for packs_x000D_
4. Projects dashboard, how many added/completed_x000D_
5. People Analytics snapshot_x000D_
_x000D_
-</t>
  </si>
  <si>
    <t>Add all actions from this tracker and from mails allocated to all leaders and track those with RAG status.</t>
  </si>
  <si>
    <t>- Creation of a Treasure portal for Training questions for RFP across the SBU. This should be made such that all Training Leaders are contributing to the portal and then teams can start using the responses for their future RFPs_x000D_
    - Create and draft Treasure Portal structure_x000D_
    - Ensure awareness across the leaders_x000D_
    - Contribution to the portal to be done by all leaders_x000D_
    - Governance of the same_x000D_
    - Usage of the responses_x000D_
- Operations / Delivery Management:_x000D_
    - Training MUST be part of ALL Operations Review, with leaders representing their respective functions_x000D_
    - There MUST be a regular departmental review with me to ensure that ALL process progress and ALL Training Digitization initiatives, within Accounts / within BU / within SBU / within Company are being done.._x000D_
    - Monthly PKT to be conducted for ALL supervisors and you MUST take ownership of the governance regarding this 'Knowledge Process' for supervisors across the BU_x000D_
- To get FULLY aligned with NCP concepts - understand what is Non Contractual Productivity and how do you and Training function plays a role in this aspect of the business_x000D_
- Technology Enablement -_x000D_
- TAAS - Pipeline_x000D_
    - Connect with Sunil and how that can be replicated across your business - Cold Calling_x000D_
    - Detailed discussion around TAAS and how this is being pursued</t>
  </si>
  <si>
    <t>What is the client mail on using Dsite and guide ai in Centrica?</t>
  </si>
  <si>
    <t>This is basi the mail sent by Nitesh.</t>
  </si>
  <si>
    <t>This is for the Centrica daily quality reporting that I discussed with the team. Nadiem is to share that information today latest.</t>
  </si>
  <si>
    <t>Zenarate is not working out due to delayed response.  Alternate must be explored.</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</si>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</sst>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applyAlignment="1">
      <alignment horizontal="left"/>
    </xf>
    <xf numFmtId="14" fontId="0" fillId="0" borderId="1" xfId="0" applyNumberFormat="1" applyBorder="1" applyAlignment="1">
      <alignment horizontal="left"/>
    </xf>
    <xf numFmtId="2" fontId="0" fillId="0" borderId="1" xfId="0" applyNumberFormat="1" applyBorder="1" applyAlignment="1">
      <alignment horizontal="left"/>
    </xf>
    <xf numFmtId="0" fontId="0" fillId="0" borderId="1"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25F1-CE08-456B-A4FE-9A39507750AF}">
  <dimension ref="A2:J55"/>
  <sheetViews>
    <sheetView tabSelected="1" topLeftCell="C1" workbookViewId="0">
      <selection activeCell="H2" sqref="H2"/>
    </sheetView>
  </sheetViews>
  <sheetFormatPr defaultRowHeight="15" x14ac:dyDescent="0.25"/>
  <cols>
    <col min="2" max="2" width="5.7109375" bestFit="1" customWidth="1"/>
    <col min="3" max="3" width="70.140625" bestFit="1" customWidth="1"/>
    <col min="4" max="4" width="11.140625" bestFit="1" customWidth="1"/>
    <col min="5" max="5" width="23" bestFit="1" customWidth="1"/>
    <col min="6" max="6" width="13.42578125" bestFit="1" customWidth="1"/>
    <col min="7" max="7" width="37.7109375" customWidth="1"/>
    <col min="8" max="8" width="13.5703125" bestFit="1" customWidth="1"/>
    <col min="9" max="9" width="17" bestFit="1" customWidth="1"/>
    <col min="10" max="10" width="10.85546875" bestFit="1" customWidth="1"/>
  </cols>
  <sheetData>
    <row r="2" spans="1:10" x14ac:dyDescent="0.25">
      <c r="B2" s="2" t="s">
        <v>5</v>
      </c>
      <c r="C2" s="2" t="s">
        <v>0</v>
      </c>
      <c r="D2" s="2" t="s">
        <v>1</v>
      </c>
      <c r="E2" s="2" t="s">
        <v>2</v>
      </c>
      <c r="F2" s="2" t="s">
        <v>3</v>
      </c>
      <c r="G2" s="2" t="s">
        <v>4</v>
      </c>
      <c r="H2" s="2" t="s">
        <v>121</v>
      </c>
      <c r="I2" s="2" t="s">
        <v>6</v>
      </c>
    </row>
    <row r="3" spans="1:10" x14ac:dyDescent="0.25">
      <c r="B3" s="2">
        <v>1</v>
      </c>
      <c r="C3" s="2" t="s">
        <v>8</v>
      </c>
      <c r="D3" s="2" t="s">
        <v>19</v>
      </c>
      <c r="E3" s="2" t="s">
        <v>25</v>
      </c>
      <c r="F3" s="3">
        <v>45992</v>
      </c>
      <c r="G3" s="4">
        <f ca="1">_xlfn.DAYS(TODAY(),F3)</f>
        <v>1</v>
      </c>
      <c r="H3" s="2" t="s">
        <v>26</v>
      </c>
      <c r="I3" s="2" t="s">
        <v>27</v>
      </c>
    </row>
    <row r="4" spans="1:10" x14ac:dyDescent="0.25">
      <c r="B4" s="2">
        <v>2</v>
      </c>
      <c r="C4" s="2" t="s">
        <v>9</v>
      </c>
      <c r="D4" s="2" t="s">
        <v>19</v>
      </c>
      <c r="E4" s="2" t="s">
        <v>25</v>
      </c>
      <c r="F4" s="3">
        <v>45992</v>
      </c>
      <c r="G4" s="4">
        <f t="shared" ref="G4:G55" ca="1" si="0">_xlfn.DAYS(TODAY(),F4)</f>
        <v>1</v>
      </c>
      <c r="H4" s="2" t="s">
        <v>26</v>
      </c>
      <c r="I4" s="2" t="s">
        <v>28</v>
      </c>
    </row>
    <row r="5" spans="1:10" x14ac:dyDescent="0.25">
      <c r="B5" s="2">
        <v>3</v>
      </c>
      <c r="C5" s="2" t="s">
        <v>10</v>
      </c>
      <c r="D5" s="2" t="s">
        <v>19</v>
      </c>
      <c r="E5" s="2" t="s">
        <v>25</v>
      </c>
      <c r="F5" s="3">
        <v>45992</v>
      </c>
      <c r="G5" s="4">
        <f t="shared" ca="1" si="0"/>
        <v>1</v>
      </c>
      <c r="H5" s="2" t="s">
        <v>26</v>
      </c>
      <c r="I5" s="2" t="s">
        <v>29</v>
      </c>
    </row>
    <row r="6" spans="1:10" x14ac:dyDescent="0.25">
      <c r="B6" s="2">
        <v>4</v>
      </c>
      <c r="C6" s="2" t="s">
        <v>11</v>
      </c>
      <c r="D6" s="2" t="s">
        <v>20</v>
      </c>
      <c r="E6" s="2" t="s">
        <v>25</v>
      </c>
      <c r="F6" s="3">
        <v>45992</v>
      </c>
      <c r="G6" s="4">
        <f t="shared" ca="1" si="0"/>
        <v>1</v>
      </c>
      <c r="H6" s="2" t="s">
        <v>26</v>
      </c>
      <c r="I6" s="2" t="s">
        <v>30</v>
      </c>
    </row>
    <row r="7" spans="1:10" x14ac:dyDescent="0.25">
      <c r="B7" s="2">
        <v>5</v>
      </c>
      <c r="C7" s="2" t="s">
        <v>41</v>
      </c>
      <c r="D7" s="2" t="s">
        <v>21</v>
      </c>
      <c r="E7" s="2" t="s">
        <v>25</v>
      </c>
      <c r="F7" s="3">
        <v>45992</v>
      </c>
      <c r="G7" s="4">
        <f t="shared" ca="1" si="0"/>
        <v>1</v>
      </c>
      <c r="H7" s="2" t="s">
        <v>26</v>
      </c>
      <c r="I7" s="2" t="s">
        <v>31</v>
      </c>
    </row>
    <row r="8" spans="1:10" x14ac:dyDescent="0.25">
      <c r="B8" s="2">
        <v>6</v>
      </c>
      <c r="C8" s="2" t="s">
        <v>12</v>
      </c>
      <c r="D8" s="2" t="s">
        <v>22</v>
      </c>
      <c r="E8" s="2" t="s">
        <v>25</v>
      </c>
      <c r="F8" s="3">
        <v>45992</v>
      </c>
      <c r="G8" s="4">
        <f t="shared" ca="1" si="0"/>
        <v>1</v>
      </c>
      <c r="H8" s="2" t="s">
        <v>26</v>
      </c>
      <c r="I8" s="2" t="s">
        <v>32</v>
      </c>
    </row>
    <row r="9" spans="1:10" x14ac:dyDescent="0.25">
      <c r="B9" s="2">
        <v>7</v>
      </c>
      <c r="C9" s="2" t="s">
        <v>13</v>
      </c>
      <c r="D9" s="2" t="s">
        <v>23</v>
      </c>
      <c r="E9" s="2" t="s">
        <v>25</v>
      </c>
      <c r="F9" s="3">
        <v>45962</v>
      </c>
      <c r="G9" s="4">
        <f t="shared" ca="1" si="0"/>
        <v>31</v>
      </c>
      <c r="H9" s="2" t="s">
        <v>26</v>
      </c>
      <c r="I9" s="2" t="s">
        <v>33</v>
      </c>
    </row>
    <row r="10" spans="1:10" x14ac:dyDescent="0.25">
      <c r="B10" s="2">
        <v>8</v>
      </c>
      <c r="C10" s="2" t="s">
        <v>14</v>
      </c>
      <c r="D10" s="2" t="s">
        <v>24</v>
      </c>
      <c r="E10" s="2" t="s">
        <v>25</v>
      </c>
      <c r="F10" s="3">
        <v>45992</v>
      </c>
      <c r="G10" s="4">
        <f t="shared" ca="1" si="0"/>
        <v>1</v>
      </c>
      <c r="H10" s="2" t="s">
        <v>26</v>
      </c>
      <c r="I10" s="2" t="s">
        <v>34</v>
      </c>
    </row>
    <row r="11" spans="1:10" x14ac:dyDescent="0.25">
      <c r="B11" s="2">
        <v>9</v>
      </c>
      <c r="C11" s="2" t="s">
        <v>15</v>
      </c>
      <c r="D11" s="2" t="s">
        <v>24</v>
      </c>
      <c r="E11" s="2" t="s">
        <v>25</v>
      </c>
      <c r="F11" s="3">
        <v>45992</v>
      </c>
      <c r="G11" s="4">
        <f t="shared" ca="1" si="0"/>
        <v>1</v>
      </c>
      <c r="H11" s="2" t="s">
        <v>26</v>
      </c>
      <c r="I11" s="2" t="s">
        <v>35</v>
      </c>
    </row>
    <row r="12" spans="1:10" x14ac:dyDescent="0.25">
      <c r="B12" s="2">
        <v>10</v>
      </c>
      <c r="C12" s="2" t="s">
        <v>16</v>
      </c>
      <c r="D12" s="2" t="s">
        <v>24</v>
      </c>
      <c r="E12" s="2" t="s">
        <v>25</v>
      </c>
      <c r="F12" s="3">
        <v>45992</v>
      </c>
      <c r="G12" s="4">
        <f t="shared" ca="1" si="0"/>
        <v>1</v>
      </c>
      <c r="H12" s="2" t="s">
        <v>26</v>
      </c>
      <c r="I12" s="2" t="s">
        <v>36</v>
      </c>
    </row>
    <row r="13" spans="1:10" x14ac:dyDescent="0.25">
      <c r="B13" s="2">
        <v>11</v>
      </c>
      <c r="C13" s="2" t="s">
        <v>17</v>
      </c>
      <c r="D13" s="2" t="s">
        <v>18</v>
      </c>
      <c r="E13" s="2" t="s">
        <v>25</v>
      </c>
      <c r="F13" s="3">
        <v>45992</v>
      </c>
      <c r="G13" s="4">
        <f t="shared" ca="1" si="0"/>
        <v>1</v>
      </c>
      <c r="H13" s="2" t="s">
        <v>26</v>
      </c>
      <c r="I13" s="5" t="s">
        <v>37</v>
      </c>
    </row>
    <row r="14" spans="1:10" x14ac:dyDescent="0.25">
      <c r="B14" s="5">
        <v>12</v>
      </c>
      <c r="C14" s="2" t="s">
        <v>39</v>
      </c>
      <c r="D14" s="2" t="s">
        <v>23</v>
      </c>
      <c r="E14" s="2" t="s">
        <v>25</v>
      </c>
      <c r="F14" s="3">
        <v>45962</v>
      </c>
      <c r="G14" s="4">
        <f t="shared" ca="1" si="0"/>
        <v>31</v>
      </c>
      <c r="H14" s="2" t="s">
        <v>38</v>
      </c>
      <c r="I14" s="2" t="s">
        <v>40</v>
      </c>
    </row>
    <row r="15" spans="1:10" x14ac:dyDescent="0.25">
      <c r="A15" t="s">
        <v>44</v>
      </c>
      <c r="B15" s="5">
        <v>13</v>
      </c>
      <c r="C15" s="2" t="s">
        <v>45</v>
      </c>
      <c r="D15" s="2" t="s">
        <v>76</v>
      </c>
      <c r="E15" s="2" t="s">
        <v>44</v>
      </c>
      <c r="F15" s="2" t="s">
        <v>96</v>
      </c>
      <c r="G15" s="4" t="e">
        <f t="shared" ca="1" si="0"/>
        <v>#VALUE!</v>
      </c>
      <c r="H15" s="2" t="str" cm="1">
        <f t="array" ref="H15">_xlfn.IFS(J15="Not Started","R",J15="In progress","A", J15= "Completed","G")</f>
        <v>R</v>
      </c>
      <c r="I15" s="2"/>
      <c r="J15" t="s">
        <v>74</v>
      </c>
    </row>
    <row r="16" spans="1:10" x14ac:dyDescent="0.25">
      <c r="B16" s="2">
        <v>14</v>
      </c>
      <c r="C16" s="2" t="s">
        <v>46</v>
      </c>
      <c r="D16" s="2" t="s">
        <v>95</v>
      </c>
      <c r="E16" s="2" t="s">
        <v>44</v>
      </c>
      <c r="F16" s="2" t="s">
        <v>97</v>
      </c>
      <c r="G16" s="4" t="e">
        <f t="shared" ca="1" si="0"/>
        <v>#VALUE!</v>
      </c>
      <c r="H16" s="2" t="str" cm="1">
        <f t="array" ref="H16">_xlfn.IFS(J16="Not Started","R",J16="In progress","A", J16= "Completed","G")</f>
        <v>R</v>
      </c>
      <c r="I16" s="2"/>
      <c r="J16" t="s">
        <v>74</v>
      </c>
    </row>
    <row r="17" spans="2:10" x14ac:dyDescent="0.25">
      <c r="B17" s="5">
        <v>15</v>
      </c>
      <c r="C17" s="2" t="s">
        <v>47</v>
      </c>
      <c r="D17" s="2" t="s">
        <v>77</v>
      </c>
      <c r="E17" s="2" t="s">
        <v>44</v>
      </c>
      <c r="F17" s="2" t="s">
        <v>97</v>
      </c>
      <c r="G17" s="4" t="e">
        <f t="shared" ca="1" si="0"/>
        <v>#VALUE!</v>
      </c>
      <c r="H17" s="2" t="str" cm="1">
        <f t="array" ref="H17">_xlfn.IFS(J17="Not Started","R",J17="In progress","A", J17= "Completed","G")</f>
        <v>G</v>
      </c>
      <c r="I17" s="2"/>
      <c r="J17" t="s">
        <v>40</v>
      </c>
    </row>
    <row r="18" spans="2:10" x14ac:dyDescent="0.25">
      <c r="B18" s="5">
        <v>16</v>
      </c>
      <c r="C18" s="2" t="s">
        <v>48</v>
      </c>
      <c r="D18" s="2" t="s">
        <v>78</v>
      </c>
      <c r="E18" s="2" t="s">
        <v>44</v>
      </c>
      <c r="F18" s="2" t="s">
        <v>97</v>
      </c>
      <c r="G18" s="4" t="e">
        <f t="shared" ca="1" si="0"/>
        <v>#VALUE!</v>
      </c>
      <c r="H18" s="2" t="str" cm="1">
        <f t="array" ref="H18">_xlfn.IFS(J18="Not Started","R",J18="In progress","A", J18= "Completed","G")</f>
        <v>R</v>
      </c>
      <c r="I18" s="2"/>
      <c r="J18" t="s">
        <v>74</v>
      </c>
    </row>
    <row r="19" spans="2:10" x14ac:dyDescent="0.25">
      <c r="B19" s="2">
        <v>17</v>
      </c>
      <c r="C19" s="2" t="s">
        <v>49</v>
      </c>
      <c r="D19" s="2" t="s">
        <v>79</v>
      </c>
      <c r="E19" s="2" t="s">
        <v>44</v>
      </c>
      <c r="F19" s="2" t="s">
        <v>98</v>
      </c>
      <c r="G19" s="4" t="e">
        <f t="shared" ca="1" si="0"/>
        <v>#VALUE!</v>
      </c>
      <c r="H19" s="2" t="str" cm="1">
        <f t="array" ref="H19">_xlfn.IFS(J19="Not Started","R",J19="In progress","A", J19= "Completed","G")</f>
        <v>A</v>
      </c>
      <c r="I19" s="2" t="s">
        <v>103</v>
      </c>
      <c r="J19" t="s">
        <v>75</v>
      </c>
    </row>
    <row r="20" spans="2:10" x14ac:dyDescent="0.25">
      <c r="B20" s="5">
        <v>18</v>
      </c>
      <c r="C20" s="2" t="s">
        <v>50</v>
      </c>
      <c r="D20" s="2" t="s">
        <v>80</v>
      </c>
      <c r="E20" s="2" t="s">
        <v>44</v>
      </c>
      <c r="F20" s="2" t="s">
        <v>96</v>
      </c>
      <c r="G20" s="4" t="e">
        <f t="shared" ca="1" si="0"/>
        <v>#VALUE!</v>
      </c>
      <c r="H20" s="2" t="str" cm="1">
        <f t="array" ref="H20">_xlfn.IFS(J20="Not Started","R",J20="In progress","A", J20= "Completed","G")</f>
        <v>R</v>
      </c>
      <c r="I20" s="2"/>
      <c r="J20" t="s">
        <v>74</v>
      </c>
    </row>
    <row r="21" spans="2:10" x14ac:dyDescent="0.25">
      <c r="B21" s="5">
        <v>19</v>
      </c>
      <c r="C21" s="2" t="s">
        <v>51</v>
      </c>
      <c r="D21" s="2" t="s">
        <v>81</v>
      </c>
      <c r="E21" s="2" t="s">
        <v>44</v>
      </c>
      <c r="F21" s="2" t="s">
        <v>98</v>
      </c>
      <c r="G21" s="4" t="e">
        <f t="shared" ca="1" si="0"/>
        <v>#VALUE!</v>
      </c>
      <c r="H21" s="2" t="str" cm="1">
        <f t="array" ref="H21">_xlfn.IFS(J21="Not Started","R",J21="In progress","A", J21= "Completed","G")</f>
        <v>R</v>
      </c>
      <c r="I21" s="2"/>
      <c r="J21" t="s">
        <v>74</v>
      </c>
    </row>
    <row r="22" spans="2:10" x14ac:dyDescent="0.25">
      <c r="B22" s="2">
        <v>20</v>
      </c>
      <c r="C22" s="2" t="s">
        <v>51</v>
      </c>
      <c r="D22" s="2" t="s">
        <v>82</v>
      </c>
      <c r="E22" s="2" t="s">
        <v>44</v>
      </c>
      <c r="F22" s="2" t="s">
        <v>97</v>
      </c>
      <c r="G22" s="4" t="e">
        <f t="shared" ca="1" si="0"/>
        <v>#VALUE!</v>
      </c>
      <c r="H22" s="2" t="str" cm="1">
        <f t="array" ref="H22">_xlfn.IFS(J22="Not Started","R",J22="In progress","A", J22= "Completed","G")</f>
        <v>R</v>
      </c>
      <c r="I22" s="2"/>
      <c r="J22" t="s">
        <v>74</v>
      </c>
    </row>
    <row r="23" spans="2:10" x14ac:dyDescent="0.25">
      <c r="B23" s="5">
        <v>21</v>
      </c>
      <c r="C23" s="2" t="s">
        <v>52</v>
      </c>
      <c r="D23" s="2" t="s">
        <v>83</v>
      </c>
      <c r="E23" s="2" t="s">
        <v>44</v>
      </c>
      <c r="F23" s="2" t="s">
        <v>97</v>
      </c>
      <c r="G23" s="4" t="e">
        <f t="shared" ca="1" si="0"/>
        <v>#VALUE!</v>
      </c>
      <c r="H23" s="2" t="str" cm="1">
        <f t="array" ref="H23">_xlfn.IFS(J23="Not Started","R",J23="In progress","A", J23= "Completed","G")</f>
        <v>A</v>
      </c>
      <c r="I23" s="2" t="s">
        <v>104</v>
      </c>
      <c r="J23" t="s">
        <v>75</v>
      </c>
    </row>
    <row r="24" spans="2:10" x14ac:dyDescent="0.25">
      <c r="B24" s="5">
        <v>22</v>
      </c>
      <c r="C24" s="2" t="s">
        <v>53</v>
      </c>
      <c r="D24" s="2" t="s">
        <v>23</v>
      </c>
      <c r="E24" s="2" t="s">
        <v>44</v>
      </c>
      <c r="F24" s="2" t="s">
        <v>98</v>
      </c>
      <c r="G24" s="4" t="e">
        <f t="shared" ca="1" si="0"/>
        <v>#VALUE!</v>
      </c>
      <c r="H24" s="2" t="str" cm="1">
        <f t="array" ref="H24">_xlfn.IFS(J24="Not Started","R",J24="In progress","A", J24= "Completed","G")</f>
        <v>R</v>
      </c>
      <c r="I24" s="2" t="s">
        <v>105</v>
      </c>
      <c r="J24" t="s">
        <v>74</v>
      </c>
    </row>
    <row r="25" spans="2:10" x14ac:dyDescent="0.25">
      <c r="B25" s="2">
        <v>23</v>
      </c>
      <c r="C25" s="2" t="s">
        <v>47</v>
      </c>
      <c r="D25" s="2" t="s">
        <v>84</v>
      </c>
      <c r="E25" s="2" t="s">
        <v>44</v>
      </c>
      <c r="F25" s="2" t="s">
        <v>97</v>
      </c>
      <c r="G25" s="4" t="e">
        <f t="shared" ca="1" si="0"/>
        <v>#VALUE!</v>
      </c>
      <c r="H25" s="2" t="str" cm="1">
        <f t="array" ref="H25">_xlfn.IFS(J25="Not Started","R",J25="In progress","A", J25= "Completed","G")</f>
        <v>G</v>
      </c>
      <c r="I25" s="2" t="s">
        <v>106</v>
      </c>
      <c r="J25" t="s">
        <v>40</v>
      </c>
    </row>
    <row r="26" spans="2:10" x14ac:dyDescent="0.25">
      <c r="B26" s="5">
        <v>24</v>
      </c>
      <c r="C26" s="2" t="s">
        <v>54</v>
      </c>
      <c r="D26" s="2" t="s">
        <v>19</v>
      </c>
      <c r="E26" s="2" t="s">
        <v>44</v>
      </c>
      <c r="F26" s="2" t="s">
        <v>98</v>
      </c>
      <c r="G26" s="4" t="e">
        <f t="shared" ca="1" si="0"/>
        <v>#VALUE!</v>
      </c>
      <c r="H26" s="2" t="str" cm="1">
        <f t="array" ref="H26">_xlfn.IFS(J26="Not Started","R",J26="In progress","A", J26= "Completed","G")</f>
        <v>R</v>
      </c>
      <c r="I26" s="2" t="s">
        <v>107</v>
      </c>
      <c r="J26" t="s">
        <v>74</v>
      </c>
    </row>
    <row r="27" spans="2:10" x14ac:dyDescent="0.25">
      <c r="B27" s="5">
        <v>25</v>
      </c>
      <c r="C27" s="2" t="s">
        <v>55</v>
      </c>
      <c r="D27" s="2" t="s">
        <v>78</v>
      </c>
      <c r="E27" s="2" t="s">
        <v>44</v>
      </c>
      <c r="F27" s="2" t="s">
        <v>98</v>
      </c>
      <c r="G27" s="4" t="e">
        <f t="shared" ca="1" si="0"/>
        <v>#VALUE!</v>
      </c>
      <c r="H27" s="2" t="str" cm="1">
        <f t="array" ref="H27">_xlfn.IFS(J27="Not Started","R",J27="In progress","A", J27= "Completed","G")</f>
        <v>R</v>
      </c>
      <c r="I27" s="2" t="s">
        <v>108</v>
      </c>
      <c r="J27" t="s">
        <v>74</v>
      </c>
    </row>
    <row r="28" spans="2:10" x14ac:dyDescent="0.25">
      <c r="B28" s="2">
        <v>26</v>
      </c>
      <c r="C28" s="2" t="s">
        <v>56</v>
      </c>
      <c r="D28" s="2" t="s">
        <v>85</v>
      </c>
      <c r="E28" s="2" t="s">
        <v>44</v>
      </c>
      <c r="F28" s="2" t="s">
        <v>97</v>
      </c>
      <c r="G28" s="4" t="e">
        <f t="shared" ca="1" si="0"/>
        <v>#VALUE!</v>
      </c>
      <c r="H28" s="2" t="str" cm="1">
        <f t="array" ref="H28">_xlfn.IFS(J28="Not Started","R",J28="In progress","A", J28= "Completed","G")</f>
        <v>R</v>
      </c>
      <c r="I28" s="2" t="s">
        <v>109</v>
      </c>
      <c r="J28" t="s">
        <v>74</v>
      </c>
    </row>
    <row r="29" spans="2:10" x14ac:dyDescent="0.25">
      <c r="B29" s="5">
        <v>27</v>
      </c>
      <c r="C29" s="2" t="s">
        <v>56</v>
      </c>
      <c r="D29" s="2" t="s">
        <v>85</v>
      </c>
      <c r="E29" s="2" t="s">
        <v>44</v>
      </c>
      <c r="F29" s="2" t="s">
        <v>99</v>
      </c>
      <c r="G29" s="4" t="e">
        <f t="shared" ca="1" si="0"/>
        <v>#VALUE!</v>
      </c>
      <c r="H29" s="2" t="str" cm="1">
        <f t="array" ref="H29">_xlfn.IFS(J29="Not Started","R",J29="In progress","A", J29= "Completed","G")</f>
        <v>R</v>
      </c>
      <c r="I29" s="2" t="s">
        <v>109</v>
      </c>
      <c r="J29" t="s">
        <v>74</v>
      </c>
    </row>
    <row r="30" spans="2:10" x14ac:dyDescent="0.25">
      <c r="B30" s="5">
        <v>28</v>
      </c>
      <c r="C30" s="2" t="s">
        <v>57</v>
      </c>
      <c r="D30" s="2" t="s">
        <v>23</v>
      </c>
      <c r="E30" s="2" t="s">
        <v>44</v>
      </c>
      <c r="F30" s="2" t="s">
        <v>98</v>
      </c>
      <c r="G30" s="4" t="e">
        <f t="shared" ca="1" si="0"/>
        <v>#VALUE!</v>
      </c>
      <c r="H30" s="2" t="str" cm="1">
        <f t="array" ref="H30">_xlfn.IFS(J30="Not Started","R",J30="In progress","A", J30= "Completed","G")</f>
        <v>R</v>
      </c>
      <c r="I30" s="2"/>
      <c r="J30" t="s">
        <v>74</v>
      </c>
    </row>
    <row r="31" spans="2:10" x14ac:dyDescent="0.25">
      <c r="B31" s="2">
        <v>29</v>
      </c>
      <c r="C31" s="2" t="s">
        <v>58</v>
      </c>
      <c r="D31" s="2" t="s">
        <v>86</v>
      </c>
      <c r="E31" s="2" t="s">
        <v>44</v>
      </c>
      <c r="F31" s="2" t="s">
        <v>98</v>
      </c>
      <c r="G31" s="4" t="e">
        <f t="shared" ca="1" si="0"/>
        <v>#VALUE!</v>
      </c>
      <c r="H31" s="2" t="str" cm="1">
        <f t="array" ref="H31">_xlfn.IFS(J31="Not Started","R",J31="In progress","A", J31= "Completed","G")</f>
        <v>A</v>
      </c>
      <c r="I31" s="2" t="s">
        <v>110</v>
      </c>
      <c r="J31" t="s">
        <v>75</v>
      </c>
    </row>
    <row r="32" spans="2:10" x14ac:dyDescent="0.25">
      <c r="B32" s="5">
        <v>30</v>
      </c>
      <c r="C32" s="2" t="s">
        <v>57</v>
      </c>
      <c r="D32" s="2" t="s">
        <v>23</v>
      </c>
      <c r="E32" s="2" t="s">
        <v>44</v>
      </c>
      <c r="F32" s="2" t="s">
        <v>99</v>
      </c>
      <c r="G32" s="4" t="e">
        <f t="shared" ca="1" si="0"/>
        <v>#VALUE!</v>
      </c>
      <c r="H32" s="2" t="str" cm="1">
        <f t="array" ref="H32">_xlfn.IFS(J32="Not Started","R",J32="In progress","A", J32= "Completed","G")</f>
        <v>R</v>
      </c>
      <c r="I32" s="2"/>
      <c r="J32" t="s">
        <v>74</v>
      </c>
    </row>
    <row r="33" spans="2:10" x14ac:dyDescent="0.25">
      <c r="B33" s="5">
        <v>31</v>
      </c>
      <c r="C33" s="2" t="s">
        <v>59</v>
      </c>
      <c r="D33" s="2" t="s">
        <v>78</v>
      </c>
      <c r="E33" s="2" t="s">
        <v>44</v>
      </c>
      <c r="F33" s="2" t="s">
        <v>99</v>
      </c>
      <c r="G33" s="4" t="e">
        <f t="shared" ca="1" si="0"/>
        <v>#VALUE!</v>
      </c>
      <c r="H33" s="2" t="str" cm="1">
        <f t="array" ref="H33">_xlfn.IFS(J33="Not Started","R",J33="In progress","A", J33= "Completed","G")</f>
        <v>R</v>
      </c>
      <c r="I33" s="2" t="s">
        <v>111</v>
      </c>
      <c r="J33" t="s">
        <v>74</v>
      </c>
    </row>
    <row r="34" spans="2:10" x14ac:dyDescent="0.25">
      <c r="B34" s="2">
        <v>32</v>
      </c>
      <c r="C34" s="2" t="s">
        <v>60</v>
      </c>
      <c r="D34" s="2" t="s">
        <v>87</v>
      </c>
      <c r="E34" s="2" t="s">
        <v>44</v>
      </c>
      <c r="F34" s="2" t="s">
        <v>98</v>
      </c>
      <c r="G34" s="4" t="e">
        <f t="shared" ca="1" si="0"/>
        <v>#VALUE!</v>
      </c>
      <c r="H34" s="2" t="str" cm="1">
        <f t="array" ref="H34">_xlfn.IFS(J34="Not Started","R",J34="In progress","A", J34= "Completed","G")</f>
        <v>R</v>
      </c>
      <c r="I34" s="2" t="s">
        <v>112</v>
      </c>
      <c r="J34" t="s">
        <v>74</v>
      </c>
    </row>
    <row r="35" spans="2:10" x14ac:dyDescent="0.25">
      <c r="B35" s="5">
        <v>33</v>
      </c>
      <c r="C35" s="2" t="s">
        <v>61</v>
      </c>
      <c r="D35" s="2" t="s">
        <v>23</v>
      </c>
      <c r="E35" s="2" t="s">
        <v>44</v>
      </c>
      <c r="F35" s="2" t="s">
        <v>98</v>
      </c>
      <c r="G35" s="4" t="e">
        <f t="shared" ca="1" si="0"/>
        <v>#VALUE!</v>
      </c>
      <c r="H35" s="2" t="str" cm="1">
        <f t="array" ref="H35">_xlfn.IFS(J35="Not Started","R",J35="In progress","A", J35= "Completed","G")</f>
        <v>R</v>
      </c>
      <c r="I35" s="2" t="s">
        <v>113</v>
      </c>
      <c r="J35" t="s">
        <v>74</v>
      </c>
    </row>
    <row r="36" spans="2:10" x14ac:dyDescent="0.25">
      <c r="B36" s="5">
        <v>34</v>
      </c>
      <c r="C36" s="2" t="s">
        <v>61</v>
      </c>
      <c r="D36" s="2" t="s">
        <v>23</v>
      </c>
      <c r="E36" s="2" t="s">
        <v>44</v>
      </c>
      <c r="F36" s="2" t="s">
        <v>98</v>
      </c>
      <c r="G36" s="4" t="e">
        <f t="shared" ca="1" si="0"/>
        <v>#VALUE!</v>
      </c>
      <c r="H36" s="2" t="str" cm="1">
        <f t="array" ref="H36">_xlfn.IFS(J36="Not Started","R",J36="In progress","A", J36= "Completed","G")</f>
        <v>A</v>
      </c>
      <c r="I36" s="2" t="s">
        <v>114</v>
      </c>
      <c r="J36" t="s">
        <v>75</v>
      </c>
    </row>
    <row r="37" spans="2:10" x14ac:dyDescent="0.25">
      <c r="B37" s="2">
        <v>35</v>
      </c>
      <c r="C37" s="2" t="s">
        <v>62</v>
      </c>
      <c r="D37" s="2" t="s">
        <v>88</v>
      </c>
      <c r="E37" s="2" t="s">
        <v>44</v>
      </c>
      <c r="F37" s="2" t="s">
        <v>100</v>
      </c>
      <c r="G37" s="4">
        <f t="shared" ca="1" si="0"/>
        <v>293</v>
      </c>
      <c r="H37" s="2" t="str" cm="1">
        <f t="array" ref="H37">_xlfn.IFS(J37="Not Started","R",J37="In progress","A", J37= "Completed","G")</f>
        <v>R</v>
      </c>
      <c r="I37" s="2"/>
      <c r="J37" t="s">
        <v>74</v>
      </c>
    </row>
    <row r="38" spans="2:10" x14ac:dyDescent="0.25">
      <c r="B38" s="5">
        <v>36</v>
      </c>
      <c r="C38" s="2" t="s">
        <v>63</v>
      </c>
      <c r="D38" s="2" t="s">
        <v>89</v>
      </c>
      <c r="E38" s="2" t="s">
        <v>44</v>
      </c>
      <c r="F38" s="2" t="s">
        <v>100</v>
      </c>
      <c r="G38" s="4">
        <f t="shared" ca="1" si="0"/>
        <v>293</v>
      </c>
      <c r="H38" s="2" t="str" cm="1">
        <f t="array" ref="H38">_xlfn.IFS(J38="Not Started","R",J38="In progress","A", J38= "Completed","G")</f>
        <v>R</v>
      </c>
      <c r="I38" s="2"/>
      <c r="J38" t="s">
        <v>74</v>
      </c>
    </row>
    <row r="39" spans="2:10" x14ac:dyDescent="0.25">
      <c r="B39" s="5">
        <v>37</v>
      </c>
      <c r="C39" s="2" t="s">
        <v>64</v>
      </c>
      <c r="D39" s="2" t="s">
        <v>23</v>
      </c>
      <c r="E39" s="2" t="s">
        <v>44</v>
      </c>
      <c r="F39" s="2" t="s">
        <v>100</v>
      </c>
      <c r="G39" s="4">
        <f t="shared" ca="1" si="0"/>
        <v>293</v>
      </c>
      <c r="H39" s="2" t="str" cm="1">
        <f t="array" ref="H39">_xlfn.IFS(J39="Not Started","R",J39="In progress","A", J39= "Completed","G")</f>
        <v>R</v>
      </c>
      <c r="I39" s="2" t="s">
        <v>115</v>
      </c>
      <c r="J39" t="s">
        <v>74</v>
      </c>
    </row>
    <row r="40" spans="2:10" x14ac:dyDescent="0.25">
      <c r="B40" s="2">
        <v>38</v>
      </c>
      <c r="C40" s="2" t="s">
        <v>65</v>
      </c>
      <c r="D40" s="2" t="s">
        <v>19</v>
      </c>
      <c r="E40" s="2" t="s">
        <v>44</v>
      </c>
      <c r="F40" s="2" t="s">
        <v>101</v>
      </c>
      <c r="G40" s="4" t="e">
        <f t="shared" ca="1" si="0"/>
        <v>#VALUE!</v>
      </c>
      <c r="H40" s="2" t="str" cm="1">
        <f t="array" ref="H40">_xlfn.IFS(J40="Not Started","R",J40="In progress","A", J40= "Completed","G")</f>
        <v>R</v>
      </c>
      <c r="I40" s="2"/>
      <c r="J40" t="s">
        <v>74</v>
      </c>
    </row>
    <row r="41" spans="2:10" x14ac:dyDescent="0.25">
      <c r="B41" s="5">
        <v>39</v>
      </c>
      <c r="C41" s="2" t="s">
        <v>66</v>
      </c>
      <c r="D41" s="2" t="s">
        <v>24</v>
      </c>
      <c r="E41" s="2" t="s">
        <v>44</v>
      </c>
      <c r="F41" s="2" t="s">
        <v>102</v>
      </c>
      <c r="G41" s="4" t="e">
        <f t="shared" ca="1" si="0"/>
        <v>#VALUE!</v>
      </c>
      <c r="H41" s="2" t="str" cm="1">
        <f t="array" ref="H41">_xlfn.IFS(J41="Not Started","R",J41="In progress","A", J41= "Completed","G")</f>
        <v>R</v>
      </c>
      <c r="I41" s="2" t="s">
        <v>116</v>
      </c>
      <c r="J41" t="s">
        <v>74</v>
      </c>
    </row>
    <row r="42" spans="2:10" x14ac:dyDescent="0.25">
      <c r="B42" s="5">
        <v>40</v>
      </c>
      <c r="C42" s="2" t="s">
        <v>67</v>
      </c>
      <c r="D42" s="2" t="s">
        <v>90</v>
      </c>
      <c r="E42" s="2" t="s">
        <v>44</v>
      </c>
      <c r="F42" s="2" t="s">
        <v>102</v>
      </c>
      <c r="G42" s="4" t="e">
        <f t="shared" ca="1" si="0"/>
        <v>#VALUE!</v>
      </c>
      <c r="H42" s="2" t="str" cm="1">
        <f t="array" ref="H42">_xlfn.IFS(J42="Not Started","R",J42="In progress","A", J42= "Completed","G")</f>
        <v>A</v>
      </c>
      <c r="I42" s="2"/>
      <c r="J42" t="s">
        <v>75</v>
      </c>
    </row>
    <row r="43" spans="2:10" x14ac:dyDescent="0.25">
      <c r="B43" s="2">
        <v>41</v>
      </c>
      <c r="C43" s="2" t="s">
        <v>68</v>
      </c>
      <c r="D43" s="2" t="s">
        <v>91</v>
      </c>
      <c r="E43" s="2" t="s">
        <v>44</v>
      </c>
      <c r="F43" s="2" t="s">
        <v>102</v>
      </c>
      <c r="G43" s="4" t="e">
        <f t="shared" ca="1" si="0"/>
        <v>#VALUE!</v>
      </c>
      <c r="H43" s="2" t="str" cm="1">
        <f t="array" ref="H43">_xlfn.IFS(J43="Not Started","R",J43="In progress","A", J43= "Completed","G")</f>
        <v>A</v>
      </c>
      <c r="I43" s="2" t="s">
        <v>117</v>
      </c>
      <c r="J43" t="s">
        <v>75</v>
      </c>
    </row>
    <row r="44" spans="2:10" x14ac:dyDescent="0.25">
      <c r="B44" s="5">
        <v>42</v>
      </c>
      <c r="C44" s="2" t="s">
        <v>69</v>
      </c>
      <c r="D44" s="2" t="s">
        <v>23</v>
      </c>
      <c r="E44" s="2" t="s">
        <v>44</v>
      </c>
      <c r="F44" s="2" t="s">
        <v>102</v>
      </c>
      <c r="G44" s="4" t="e">
        <f t="shared" ca="1" si="0"/>
        <v>#VALUE!</v>
      </c>
      <c r="H44" s="2" t="str" cm="1">
        <f t="array" ref="H44">_xlfn.IFS(J44="Not Started","R",J44="In progress","A", J44= "Completed","G")</f>
        <v>R</v>
      </c>
      <c r="I44" s="2" t="s">
        <v>118</v>
      </c>
      <c r="J44" t="s">
        <v>74</v>
      </c>
    </row>
    <row r="45" spans="2:10" x14ac:dyDescent="0.25">
      <c r="B45" s="5">
        <v>43</v>
      </c>
      <c r="C45" s="2" t="s">
        <v>70</v>
      </c>
      <c r="D45" s="2" t="s">
        <v>19</v>
      </c>
      <c r="E45" s="2" t="s">
        <v>44</v>
      </c>
      <c r="F45" s="2" t="s">
        <v>102</v>
      </c>
      <c r="G45" s="4" t="e">
        <f t="shared" ca="1" si="0"/>
        <v>#VALUE!</v>
      </c>
      <c r="H45" s="2" t="str" cm="1">
        <f t="array" ref="H45">_xlfn.IFS(J45="Not Started","R",J45="In progress","A", J45= "Completed","G")</f>
        <v>R</v>
      </c>
      <c r="I45" s="2"/>
      <c r="J45" t="s">
        <v>74</v>
      </c>
    </row>
    <row r="46" spans="2:10" x14ac:dyDescent="0.25">
      <c r="B46" s="2">
        <v>44</v>
      </c>
      <c r="C46" s="2" t="s">
        <v>71</v>
      </c>
      <c r="D46" s="2" t="s">
        <v>92</v>
      </c>
      <c r="E46" s="2" t="s">
        <v>44</v>
      </c>
      <c r="F46" s="2" t="s">
        <v>102</v>
      </c>
      <c r="G46" s="4" t="e">
        <f t="shared" ca="1" si="0"/>
        <v>#VALUE!</v>
      </c>
      <c r="H46" s="2" t="str" cm="1">
        <f t="array" ref="H46">_xlfn.IFS(J46="Not Started","R",J46="In progress","A", J46= "Completed","G")</f>
        <v>R</v>
      </c>
      <c r="I46" s="2"/>
      <c r="J46" t="s">
        <v>74</v>
      </c>
    </row>
    <row r="47" spans="2:10" x14ac:dyDescent="0.25">
      <c r="B47" s="5">
        <v>45</v>
      </c>
      <c r="C47" s="2" t="s">
        <v>72</v>
      </c>
      <c r="D47" s="2" t="s">
        <v>93</v>
      </c>
      <c r="E47" s="2" t="s">
        <v>44</v>
      </c>
      <c r="F47" s="2" t="s">
        <v>102</v>
      </c>
      <c r="G47" s="4" t="e">
        <f t="shared" ca="1" si="0"/>
        <v>#VALUE!</v>
      </c>
      <c r="H47" s="2" t="str" cm="1">
        <f t="array" ref="H47">_xlfn.IFS(J47="Not Started","R",J47="In progress","A", J47= "Completed","G")</f>
        <v>R</v>
      </c>
      <c r="I47" s="2" t="s">
        <v>119</v>
      </c>
      <c r="J47" t="s">
        <v>74</v>
      </c>
    </row>
    <row r="48" spans="2:10" x14ac:dyDescent="0.25">
      <c r="B48" s="5">
        <v>46</v>
      </c>
      <c r="C48" s="2" t="s">
        <v>73</v>
      </c>
      <c r="D48" s="2" t="s">
        <v>94</v>
      </c>
      <c r="E48" s="2" t="s">
        <v>44</v>
      </c>
      <c r="F48" s="2" t="s">
        <v>102</v>
      </c>
      <c r="G48" s="4" t="e">
        <f t="shared" ca="1" si="0"/>
        <v>#VALUE!</v>
      </c>
      <c r="H48" s="2" t="str" cm="1">
        <f t="array" ref="H48">_xlfn.IFS(J48="Not Started","R",J48="In progress","A", J48= "Completed","G")</f>
        <v>R</v>
      </c>
      <c r="I48" s="2" t="s">
        <v>120</v>
      </c>
      <c r="J48" t="s">
        <v>74</v>
      </c>
    </row>
    <row r="49" spans="2:10" x14ac:dyDescent="0.25">
      <c r="B49" s="2">
        <v>47</v>
      </c>
      <c r="C49" s="2" t="s">
        <v>47</v>
      </c>
      <c r="D49" s="2" t="s">
        <v>77</v>
      </c>
      <c r="E49" s="2" t="s">
        <v>44</v>
      </c>
      <c r="F49" s="2" t="s">
        <v>102</v>
      </c>
      <c r="G49" s="4" t="e">
        <f t="shared" ca="1" si="0"/>
        <v>#VALUE!</v>
      </c>
      <c r="H49" s="2" t="str" cm="1">
        <f t="array" ref="H49">_xlfn.IFS(J49="Not Started","R",J49="In progress","A", J49= "Completed","G")</f>
        <v>R</v>
      </c>
      <c r="I49" s="2"/>
      <c r="J49" t="s">
        <v>74</v>
      </c>
    </row>
    <row r="50" spans="2:10" x14ac:dyDescent="0.25">
      <c r="B50" s="5">
        <v>48</v>
      </c>
      <c r="C50" s="2" t="s">
        <v>56</v>
      </c>
      <c r="D50" s="2" t="s">
        <v>85</v>
      </c>
      <c r="E50" s="2" t="s">
        <v>44</v>
      </c>
      <c r="F50" s="2" t="s">
        <v>101</v>
      </c>
      <c r="G50" s="4" t="e">
        <f t="shared" ca="1" si="0"/>
        <v>#VALUE!</v>
      </c>
      <c r="H50" s="2" t="str" cm="1">
        <f t="array" ref="H50">_xlfn.IFS(J50="Not Started","R",J50="In progress","A", J50= "Completed","G")</f>
        <v>R</v>
      </c>
      <c r="I50" s="2" t="s">
        <v>109</v>
      </c>
      <c r="J50" t="s">
        <v>74</v>
      </c>
    </row>
    <row r="51" spans="2:10" x14ac:dyDescent="0.25">
      <c r="B51" s="5">
        <v>49</v>
      </c>
      <c r="C51" s="2" t="s">
        <v>56</v>
      </c>
      <c r="D51" s="2" t="s">
        <v>85</v>
      </c>
      <c r="E51" s="2" t="s">
        <v>44</v>
      </c>
      <c r="F51" s="2" t="s">
        <v>101</v>
      </c>
      <c r="G51" s="4" t="e">
        <f t="shared" ca="1" si="0"/>
        <v>#VALUE!</v>
      </c>
      <c r="H51" s="2" t="str" cm="1">
        <f t="array" ref="H51">_xlfn.IFS(J51="Not Started","R",J51="In progress","A", J51= "Completed","G")</f>
        <v>R</v>
      </c>
      <c r="I51" s="2" t="s">
        <v>109</v>
      </c>
      <c r="J51" t="s">
        <v>74</v>
      </c>
    </row>
    <row r="52" spans="2:10" x14ac:dyDescent="0.25">
      <c r="B52" s="2">
        <v>50</v>
      </c>
      <c r="C52" s="2" t="s">
        <v>56</v>
      </c>
      <c r="D52" s="2" t="s">
        <v>85</v>
      </c>
      <c r="E52" s="2" t="s">
        <v>44</v>
      </c>
      <c r="F52" s="2" t="s">
        <v>101</v>
      </c>
      <c r="G52" s="4" t="e">
        <f t="shared" ca="1" si="0"/>
        <v>#VALUE!</v>
      </c>
      <c r="H52" s="2" t="str" cm="1">
        <f t="array" ref="H52">_xlfn.IFS(J52="Not Started","R",J52="In progress","A", J52= "Completed","G")</f>
        <v>R</v>
      </c>
      <c r="I52" s="2" t="s">
        <v>109</v>
      </c>
      <c r="J52" t="s">
        <v>74</v>
      </c>
    </row>
    <row r="53" spans="2:10" x14ac:dyDescent="0.25">
      <c r="B53" s="5">
        <v>51</v>
      </c>
      <c r="C53" s="2" t="s">
        <v>56</v>
      </c>
      <c r="D53" s="2" t="s">
        <v>85</v>
      </c>
      <c r="E53" s="2" t="s">
        <v>44</v>
      </c>
      <c r="F53" s="2" t="s">
        <v>101</v>
      </c>
      <c r="G53" s="4" t="e">
        <f t="shared" ca="1" si="0"/>
        <v>#VALUE!</v>
      </c>
      <c r="H53" s="2" t="str" cm="1">
        <f t="array" ref="H53">_xlfn.IFS(J53="Not Started","R",J53="In progress","A", J53= "Completed","G")</f>
        <v>R</v>
      </c>
      <c r="I53" s="2" t="s">
        <v>109</v>
      </c>
      <c r="J53" t="s">
        <v>74</v>
      </c>
    </row>
    <row r="54" spans="2:10" x14ac:dyDescent="0.25">
      <c r="B54" s="5">
        <v>52</v>
      </c>
      <c r="C54" s="2" t="s">
        <v>56</v>
      </c>
      <c r="D54" s="2" t="s">
        <v>85</v>
      </c>
      <c r="E54" s="2" t="s">
        <v>44</v>
      </c>
      <c r="F54" s="2" t="s">
        <v>101</v>
      </c>
      <c r="G54" s="4" t="e">
        <f t="shared" ca="1" si="0"/>
        <v>#VALUE!</v>
      </c>
      <c r="H54" s="2" t="str" cm="1">
        <f t="array" ref="H54">_xlfn.IFS(J54="Not Started","R",J54="In progress","A", J54= "Completed","G")</f>
        <v>R</v>
      </c>
      <c r="I54" s="2" t="s">
        <v>109</v>
      </c>
      <c r="J54" t="s">
        <v>74</v>
      </c>
    </row>
    <row r="55" spans="2:10" x14ac:dyDescent="0.25">
      <c r="B55" s="2">
        <v>53</v>
      </c>
      <c r="C55" s="2" t="s">
        <v>60</v>
      </c>
      <c r="D55" s="2" t="s">
        <v>87</v>
      </c>
      <c r="E55" s="2" t="s">
        <v>44</v>
      </c>
      <c r="F55" s="2" t="s">
        <v>102</v>
      </c>
      <c r="G55" s="4" t="e">
        <f t="shared" ca="1" si="0"/>
        <v>#VALUE!</v>
      </c>
      <c r="H55" s="2" t="str" cm="1">
        <f t="array" ref="H55">_xlfn.IFS(J55="Not Started","R",J55="In progress","A", J55= "Completed","G")</f>
        <v>A</v>
      </c>
      <c r="I55" s="2" t="s">
        <v>112</v>
      </c>
      <c r="J55"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16E13-BA08-40E4-B1A4-CF5E488FB8FD}">
  <dimension ref="B2:B5"/>
  <sheetViews>
    <sheetView workbookViewId="0">
      <selection activeCell="B6" sqref="B6"/>
    </sheetView>
  </sheetViews>
  <sheetFormatPr defaultRowHeight="15" x14ac:dyDescent="0.25"/>
  <cols>
    <col min="2" max="2" width="61" customWidth="1"/>
  </cols>
  <sheetData>
    <row r="2" spans="2:2" ht="120" x14ac:dyDescent="0.25">
      <c r="B2" s="1" t="s">
        <v>7</v>
      </c>
    </row>
    <row r="4" spans="2:2" x14ac:dyDescent="0.25">
      <c r="B4" t="s">
        <v>42</v>
      </c>
    </row>
    <row r="5" spans="2:2" x14ac:dyDescent="0.25">
      <c r="B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Digvijay Rathore</dc:creator>
  <cp:lastModifiedBy>Abantika Chail</cp:lastModifiedBy>
  <dcterms:created xsi:type="dcterms:W3CDTF">2025-12-02T08:14:02Z</dcterms:created>
  <dcterms:modified xsi:type="dcterms:W3CDTF">2025-12-02T13:24:07Z</dcterms:modified>
</cp:coreProperties>
</file>